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ed1744467af468f" /></Relationships>
</file>

<file path=xl/workbook.xml><?xml version="1.0" encoding="utf-8"?>
<x:workbook xmlns:x="http://schemas.openxmlformats.org/spreadsheetml/2006/main">
  <x:sheets>
    <x:sheet xmlns:r="http://schemas.openxmlformats.org/officeDocument/2006/relationships" name="Summary" sheetId="1" r:id="Rd28747cd04d14b65"/>
    <x:sheet xmlns:r="http://schemas.openxmlformats.org/officeDocument/2006/relationships" name="Roadmap" sheetId="2" r:id="R626cfca1634344f1"/>
    <x:sheet xmlns:r="http://schemas.openxmlformats.org/officeDocument/2006/relationships" name="Release Plan" sheetId="3" r:id="Rca76a56645994ada"/>
    <x:sheet xmlns:r="http://schemas.openxmlformats.org/officeDocument/2006/relationships" name="Acceptance Matrix" sheetId="4" r:id="R4f59ae9d68424aab"/>
    <x:sheet xmlns:r="http://schemas.openxmlformats.org/officeDocument/2006/relationships" name="Risks &amp; Decisions" sheetId="5" r:id="Rda22ecf40b0a49fa"/>
    <x:sheet xmlns:r="http://schemas.openxmlformats.org/officeDocument/2006/relationships" name="Definitions" sheetId="6" r:id="Rc0c0c961a1c7427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3">
    <x:font>
      <x:sz val="11"/>
      <x:name val="Carlito"/>
    </x:font>
    <x:font>
      <x:b/>
      <x:sz val="14"/>
      <x:color rgb="FF111827"/>
      <x:name val="Carlito"/>
    </x:font>
    <x:font>
      <x:b/>
      <x:sz val="11"/>
      <x:color rgb="FF111827"/>
      <x:name val="Carlito"/>
    </x:font>
  </x:fonts>
  <x:fills count="4">
    <x:fill>
      <x:patternFill patternType="none"/>
    </x:fill>
    <x:fill>
      <x:patternFill patternType="gray125"/>
    </x:fill>
    <x:fill>
      <x:patternFill patternType="solid">
        <x:fgColor rgb="FFE5F3F0"/>
      </x:patternFill>
    </x:fill>
    <x:fill>
      <x:patternFill patternType="solid">
        <x:fgColor rgb="FFF3F4F6"/>
      </x:patternFill>
    </x:fill>
  </x:fills>
  <x:borders count="16">
    <x:border/>
    <x:border>
      <x:left style="thin">
        <x:color rgb="FF9CA3AF"/>
      </x:left>
      <x:top style="thin">
        <x:color rgb="FF9CA3AF"/>
      </x:top>
      <x:bottom style="thin">
        <x:color rgb="FF9CA3AF"/>
      </x:bottom>
    </x:border>
    <x:border>
      <x:top style="thin">
        <x:color rgb="FF9CA3AF"/>
      </x:top>
      <x:bottom style="thin">
        <x:color rgb="FF9CA3AF"/>
      </x:bottom>
    </x:border>
    <x:border>
      <x:right style="thin">
        <x:color rgb="FF9CA3AF"/>
      </x:right>
      <x:top style="thin">
        <x:color rgb="FF9CA3AF"/>
      </x:top>
      <x:bottom style="thin">
        <x:color rgb="FF9CA3AF"/>
      </x:bottom>
    </x:border>
    <x:border>
      <x:right style="thin">
        <x:color rgb="FFD1D5DB"/>
      </x:right>
    </x:border>
    <x:border>
      <x:left style="thin">
        <x:color rgb="FFD1D5DB"/>
      </x:left>
    </x:border>
    <x:border>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rder>
    <x:border>
      <x:left style="thin">
        <x:color rgb="FFE5E7EB"/>
      </x:left>
      <x:top style="thin">
        <x:color rgb="FFE5E7EB"/>
      </x:top>
    </x:border>
    <x:border>
      <x:left style="thin">
        <x:color rgb="FFD1D5DB"/>
      </x:left>
      <x:right style="thin">
        <x:color rgb="FFD1D5DB"/>
      </x:right>
    </x:border>
    <x:border>
      <x:left style="thin">
        <x:color rgb="FFE5E7EB"/>
      </x:left>
      <x:right style="thin">
        <x:color rgb="FFE5E7EB"/>
      </x:right>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right style="thin">
        <x:color rgb="FFE5E7EB"/>
      </x:right>
      <x:top style="thin">
        <x:color rgb="FFE5E7EB"/>
      </x:top>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2" fillId="3" borderId="12" xfId="0" applyNumberFormat="1" applyFont="1" applyFill="1" applyBorder="1"/>
    <x:xf numFmtId="0" fontId="2" fillId="3" borderId="12" xfId="0" applyNumberFormat="1" applyFont="1" applyFill="1" applyBorder="1" applyAlignment="1">
      <x:alignment wrapText="1"/>
    </x:xf>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200" fontId="0" fillId="0" borderId="7" xfId="0" applyNumberFormat="1" applyFont="1" applyFill="1" applyBorder="1" applyAlignment="1">
      <x:alignment wrapText="1"/>
    </x:xf>
    <x:xf numFmtId="200" fontId="0" fillId="0" borderId="9" xfId="0" applyNumberFormat="1" applyFont="1" applyFill="1" applyBorder="1" applyAlignment="1">
      <x:alignment wrapText="1"/>
    </x:xf>
    <x:xf numFmtId="201" fontId="0" fillId="0" borderId="11" xfId="0" applyNumberFormat="1" applyFont="1" applyFill="1" applyBorder="1" applyAlignment="1">
      <x:alignment wrapText="1"/>
    </x:xf>
    <x:xf numFmtId="201" fontId="0" fillId="0" borderId="13" xfId="0" applyNumberFormat="1" applyFont="1" applyFill="1" applyBorder="1" applyAlignment="1">
      <x:alignment wrapText="1"/>
    </x:xf>
    <x:xf numFmtId="201" fontId="0" fillId="0" borderId="14" xfId="0" applyNumberFormat="1" applyFont="1" applyFill="1" applyBorder="1" applyAlignment="1">
      <x:alignment wrapText="1"/>
    </x:xf>
    <x:xf numFmtId="201" fontId="0" fillId="0" borderId="1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2da301658144191" /><Relationship Type="http://schemas.openxmlformats.org/officeDocument/2006/relationships/theme" Target="/xl/theme/theme1.xml" Id="R26d38566589d4df2" /><Relationship Type="http://schemas.openxmlformats.org/officeDocument/2006/relationships/sharedStrings" Target="/xl/sharedStrings.xml" Id="Re89c1b67a6744974" /><Relationship Type="http://schemas.openxmlformats.org/officeDocument/2006/relationships/worksheet" Target="/xl/worksheets/sheet1.xml" Id="Rd28747cd04d14b65" /><Relationship Type="http://schemas.openxmlformats.org/officeDocument/2006/relationships/worksheet" Target="/xl/worksheets/sheet2.xml" Id="R626cfca1634344f1" /><Relationship Type="http://schemas.openxmlformats.org/officeDocument/2006/relationships/worksheet" Target="/xl/worksheets/sheet3.xml" Id="Rca76a56645994ada" /><Relationship Type="http://schemas.openxmlformats.org/officeDocument/2006/relationships/worksheet" Target="/xl/worksheets/sheet4.xml" Id="R4f59ae9d68424aab" /><Relationship Type="http://schemas.openxmlformats.org/officeDocument/2006/relationships/worksheet" Target="/xl/worksheets/sheet5.xml" Id="Rda22ecf40b0a49fa" /><Relationship Type="http://schemas.openxmlformats.org/officeDocument/2006/relationships/worksheet" Target="/xl/worksheets/sheet6.xml" Id="Rc0c0c961a1c7427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8" hidden="0" customWidth="1"/>
    <x:col min="2" max="2" width="20" hidden="0" customWidth="1"/>
    <x:col min="3" max="3" width="18" hidden="0" customWidth="1"/>
    <x:col min="4" max="4" width="16" hidden="0" customWidth="1"/>
    <x:col min="5" max="5" width="18" hidden="0" customWidth="1"/>
    <x:col min="6" max="6" width="16" hidden="0" customWidth="1"/>
  </x:cols>
  <x:sheetData>
    <x:row r="1">
      <x:c r="A1" s="3" t="str">
        <x:v>Ryu Internal Product Roadmap Example</x:v>
      </x:c>
      <x:c r="B1" s="4"/>
      <x:c r="C1" s="4"/>
      <x:c r="D1" s="4"/>
      <x:c r="E1" s="4"/>
      <x:c r="F1" s="5"/>
    </x:row>
    <x:row r="3">
      <x:c r="A3" s="10" t="str">
        <x:v>Metric</x:v>
      </x:c>
      <x:c r="B3" s="11" t="str">
        <x:v>Value</x:v>
      </x:c>
    </x:row>
    <x:row r="4">
      <x:c r="A4" s="18" t="str">
        <x:v>Total roadmap items</x:v>
      </x:c>
      <x:c r="B4" s="32" t="n">
        <x:f>COUNTA(Roadmap!A2:A200)</x:f>
        <x:v>12</x:v>
      </x:c>
    </x:row>
    <x:row r="5">
      <x:c r="A5" s="20" t="str">
        <x:v>P0 items</x:v>
      </x:c>
      <x:c r="B5" s="33" t="n">
        <x:f>COUNTIF(Roadmap!E2:E200,"P0")</x:f>
        <x:v>6</x:v>
      </x:c>
    </x:row>
    <x:row r="6">
      <x:c r="A6" s="20" t="str">
        <x:v>Ready or in progress</x:v>
      </x:c>
      <x:c r="B6" s="33" t="n">
        <x:f>COUNTIF(Roadmap!F2:F200,"Ready")+COUNTIF(Roadmap!F2:F200,"In Progress")</x:f>
        <x:v>3</x:v>
      </x:c>
    </x:row>
    <x:row r="7">
      <x:c r="A7" s="20" t="str">
        <x:v>Blocked items</x:v>
      </x:c>
      <x:c r="B7" s="33" t="n">
        <x:f>COUNTIF(Roadmap!F2:F200,"Blocked")</x:f>
        <x:v>0</x:v>
      </x:c>
    </x:row>
    <x:row r="8">
      <x:c r="A8" s="20" t="str">
        <x:v>Launch-targeted items</x:v>
      </x:c>
      <x:c r="B8" s="33" t="n">
        <x:f>COUNTIF(Roadmap!N2:N200,"Launched")</x:f>
        <x:v>1</x:v>
      </x:c>
    </x:row>
    <x:row r="9">
      <x:c r="A9" s="20" t="str">
        <x:v>Next release</x:v>
      </x:c>
      <x:c r="B9" s="21" t="str">
        <x:v>Release 2</x:v>
      </x:c>
    </x:row>
    <x:row r="10">
      <x:c r="A10" s="20" t="str">
        <x:v>Roadmap owner</x:v>
      </x:c>
      <x:c r="B10" s="21" t="str">
        <x:v>Product</x:v>
      </x:c>
    </x:row>
    <x:row r="11">
      <x:c r="A11" s="22" t="str">
        <x:v>Last refreshed</x:v>
      </x:c>
      <x:c r="B11" s="34" t="n">
        <x:v>46280</x:v>
      </x:c>
    </x:row>
    <x:row r="13">
      <x:c r="A13" s="10" t="str">
        <x:v>Release</x:v>
      </x:c>
      <x:c r="B13" s="25" t="str">
        <x:v>Items</x:v>
      </x:c>
      <x:c r="C13" s="25" t="str">
        <x:v>Not Started</x:v>
      </x:c>
      <x:c r="D13" s="25" t="str">
        <x:v>Ready</x:v>
      </x:c>
      <x:c r="E13" s="25" t="str">
        <x:v>In Progress</x:v>
      </x:c>
      <x:c r="F13" s="11" t="str">
        <x:v>Done</x:v>
      </x:c>
    </x:row>
    <x:row r="14">
      <x:c r="A14" s="18" t="str">
        <x:v>Release 1</x:v>
      </x:c>
      <x:c r="B14" s="29" t="n">
        <x:f>COUNTIF(Roadmap!B$2:B$200,A14)</x:f>
        <x:v>4</x:v>
      </x:c>
      <x:c r="C14" s="29" t="n">
        <x:f>COUNTIFS(Roadmap!B$2:B$200,A14,Roadmap!F$2:F$200,"Not Started")</x:f>
        <x:v>0</x:v>
      </x:c>
      <x:c r="D14" s="29" t="n">
        <x:f>COUNTIFS(Roadmap!B$2:B$200,A14,Roadmap!F$2:F$200,"Ready")</x:f>
        <x:v>0</x:v>
      </x:c>
      <x:c r="E14" s="29" t="n">
        <x:f>COUNTIFS(Roadmap!B$2:B$200,A14,Roadmap!F$2:F$200,"In Progress")</x:f>
        <x:v>0</x:v>
      </x:c>
      <x:c r="F14" s="19" t="n">
        <x:f>COUNTIFS(Roadmap!B$2:B$200,A14,Roadmap!F$2:F$200,"Done")</x:f>
        <x:v>4</x:v>
      </x:c>
    </x:row>
    <x:row r="15">
      <x:c r="A15" s="20" t="str">
        <x:v>Release 2</x:v>
      </x:c>
      <x:c r="B15" s="30" t="n">
        <x:f>COUNTIF(Roadmap!B$2:B$200,A15)</x:f>
        <x:v>4</x:v>
      </x:c>
      <x:c r="C15" s="30" t="n">
        <x:f>COUNTIFS(Roadmap!B$2:B$200,A15,Roadmap!F$2:F$200,"Not Started")</x:f>
        <x:v>2</x:v>
      </x:c>
      <x:c r="D15" s="30" t="n">
        <x:f>COUNTIFS(Roadmap!B$2:B$200,A15,Roadmap!F$2:F$200,"Ready")</x:f>
        <x:v>1</x:v>
      </x:c>
      <x:c r="E15" s="30" t="n">
        <x:f>COUNTIFS(Roadmap!B$2:B$200,A15,Roadmap!F$2:F$200,"In Progress")</x:f>
        <x:v>1</x:v>
      </x:c>
      <x:c r="F15" s="21" t="n">
        <x:f>COUNTIFS(Roadmap!B$2:B$200,A15,Roadmap!F$2:F$200,"Done")</x:f>
        <x:v>0</x:v>
      </x:c>
    </x:row>
    <x:row r="16">
      <x:c r="A16" s="22" t="str">
        <x:v>Release 3</x:v>
      </x:c>
      <x:c r="B16" s="31" t="n">
        <x:f>COUNTIF(Roadmap!B$2:B$200,A16)</x:f>
        <x:v>4</x:v>
      </x:c>
      <x:c r="C16" s="31" t="n">
        <x:f>COUNTIFS(Roadmap!B$2:B$200,A16,Roadmap!F$2:F$200,"Not Started")</x:f>
        <x:v>3</x:v>
      </x:c>
      <x:c r="D16" s="31" t="n">
        <x:f>COUNTIFS(Roadmap!B$2:B$200,A16,Roadmap!F$2:F$200,"Ready")</x:f>
        <x:v>1</x:v>
      </x:c>
      <x:c r="E16" s="31" t="n">
        <x:f>COUNTIFS(Roadmap!B$2:B$200,A16,Roadmap!F$2:F$200,"In Progress")</x:f>
        <x:v>0</x:v>
      </x:c>
      <x:c r="F16" s="23" t="n">
        <x:f>COUNTIFS(Roadmap!B$2:B$200,A16,Roadmap!F$2:F$200,"Done")</x:f>
        <x:v>0</x:v>
      </x:c>
    </x:row>
  </x:sheetData>
  <x:mergeCells>
    <x:mergeCell ref="A1:F1"/>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3" hidden="0" customWidth="1"/>
    <x:col min="3" max="3" width="28" hidden="0" customWidth="1"/>
    <x:col min="4" max="4" width="36" hidden="0" customWidth="1"/>
    <x:col min="5" max="5" width="10" hidden="0" customWidth="1"/>
    <x:col min="6" max="6" width="16" hidden="0" customWidth="1"/>
    <x:col min="7" max="7" width="18" hidden="0" customWidth="1"/>
    <x:col min="8" max="8" width="14" hidden="0" customWidth="1"/>
    <x:col min="9" max="9" width="14" hidden="0" customWidth="1"/>
    <x:col min="10" max="10" width="10" hidden="0" customWidth="1"/>
    <x:col min="11" max="11" width="24" hidden="0" customWidth="1"/>
    <x:col min="12" max="12" width="54" hidden="0" customWidth="1"/>
    <x:col min="13" max="13" width="54" hidden="0" customWidth="1"/>
    <x:col min="14" max="14" width="18" hidden="0" customWidth="1"/>
    <x:col min="15" max="15" width="42" hidden="0" customWidth="1"/>
  </x:cols>
  <x:sheetData>
    <x:row r="1">
      <x:c r="A1" s="10" t="str">
        <x:v>ID</x:v>
      </x:c>
      <x:c r="B1" s="25" t="str">
        <x:v>Release</x:v>
      </x:c>
      <x:c r="C1" s="25" t="str">
        <x:v>Feature</x:v>
      </x:c>
      <x:c r="D1" s="25" t="str">
        <x:v>Outcome</x:v>
      </x:c>
      <x:c r="E1" s="25" t="str">
        <x:v>Priority</x:v>
      </x:c>
      <x:c r="F1" s="25" t="str">
        <x:v>Status</x:v>
      </x:c>
      <x:c r="G1" s="25" t="str">
        <x:v>Owner</x:v>
      </x:c>
      <x:c r="H1" s="25" t="str">
        <x:v>Start</x:v>
      </x:c>
      <x:c r="I1" s="25" t="str">
        <x:v>Target</x:v>
      </x:c>
      <x:c r="J1" s="25" t="str">
        <x:v>Effort</x:v>
      </x:c>
      <x:c r="K1" s="25" t="str">
        <x:v>Dependencies</x:v>
      </x:c>
      <x:c r="L1" s="25" t="str">
        <x:v>Scope of Work</x:v>
      </x:c>
      <x:c r="M1" s="25" t="str">
        <x:v>Acceptance Criteria</x:v>
      </x:c>
      <x:c r="N1" s="25" t="str">
        <x:v>Launch Gate</x:v>
      </x:c>
      <x:c r="O1" s="11" t="str">
        <x:v>Notes</x:v>
      </x:c>
    </x:row>
    <x:row r="2" ht="84" customHeight="1">
      <x:c r="A2" s="18" t="str">
        <x:v>R1-F01</x:v>
      </x:c>
      <x:c r="B2" s="29" t="str">
        <x:v>Release 1</x:v>
      </x:c>
      <x:c r="C2" s="29" t="str">
        <x:v>Record backlog triage</x:v>
      </x:c>
      <x:c r="D2" s="29" t="str">
        <x:v>Define the near-term record set and review order.</x:v>
      </x:c>
      <x:c r="E2" s="29" t="str">
        <x:v>P0</x:v>
      </x:c>
      <x:c r="F2" s="29" t="str">
        <x:v>Done</x:v>
      </x:c>
      <x:c r="G2" s="29" t="str">
        <x:v>Product</x:v>
      </x:c>
      <x:c r="H2" s="35" t="n">
        <x:v>46258</x:v>
      </x:c>
      <x:c r="I2" s="35" t="n">
        <x:v>46262</x:v>
      </x:c>
      <x:c r="J2" s="29" t="str">
        <x:v>S</x:v>
      </x:c>
      <x:c r="K2" s="29" t="str">
        <x:v>Existing Ryu DB</x:v>
      </x:c>
      <x:c r="L2" s="29" t="str">
        <x:v>Use the approved priority research queue to inventory existing systems, identify missing main systems and supporting relationship endpoints, assign rich versus thin or stub depth, and record the research order and owner.</x:v>
      </x:c>
      <x:c r="M2" s="29" t="str">
        <x:v>The approved queue names and orders the priority systems, assigns a primary worker, sets the target depth and review state, keeps supporting identities thin or stub, and records removals or deferrals.</x:v>
      </x:c>
      <x:c r="N2" s="29" t="str">
        <x:v>Spec Approved</x:v>
      </x:c>
      <x:c r="O2" s="19" t="str">
        <x:v>The approved research queue and current production scope are documented.</x:v>
      </x:c>
    </x:row>
    <x:row r="3" ht="84" customHeight="1">
      <x:c r="A3" s="20" t="str">
        <x:v>R1-F02</x:v>
      </x:c>
      <x:c r="B3" s="30" t="str">
        <x:v>Release 1</x:v>
      </x:c>
      <x:c r="C3" s="30" t="str">
        <x:v>Rich record backfill</x:v>
      </x:c>
      <x:c r="D3" s="30" t="str">
        <x:v>Apply the approved priority system batch as validated rich records.</x:v>
      </x:c>
      <x:c r="E3" s="30" t="str">
        <x:v>P0</x:v>
      </x:c>
      <x:c r="F3" s="30" t="str">
        <x:v>Done</x:v>
      </x:c>
      <x:c r="G3" s="30" t="str">
        <x:v>Research</x:v>
      </x:c>
      <x:c r="H3" s="36" t="n">
        <x:v>46265</x:v>
      </x:c>
      <x:c r="I3" s="36" t="n">
        <x:v>46276</x:v>
      </x:c>
      <x:c r="J3" s="30" t="str">
        <x:v>L</x:v>
      </x:c>
      <x:c r="K3" s="30" t="str">
        <x:v>R1-F01</x:v>
      </x:c>
      <x:c r="L3" s="30" t="str">
        <x:v>Apply complete six-locale rich system aggregates through the Record API, including sourced profiles, approved descriptors, access guidance, metrics or explicit gaps, gallery evidence, and researched incident relationships. Preserve existing content, routes, sources, and review history.</x:v>
      </x:c>
      <x:c r="M3" s="30" t="str">
        <x:v>Every approved main record passes live validateOnly with a fresh precondition, applies and reads back exactly, has six complete agent_researched localizations, complete source-reference coverage, qualifying gallery evidence, and fully evidenced incident relationships; supporting identities remain thin or stub.</x:v>
      </x:c>
      <x:c r="N3" s="30" t="str">
        <x:v>QA Passed</x:v>
      </x:c>
      <x:c r="O3" s="21" t="str">
        <x:v>Production application and readback completed 2026-09-11; OceanTeacher was later removed from system scope.</x:v>
      </x:c>
    </x:row>
    <x:row r="4" ht="84" customHeight="1">
      <x:c r="A4" s="20" t="str">
        <x:v>R1-F03</x:v>
      </x:c>
      <x:c r="B4" s="30" t="str">
        <x:v>Release 1</x:v>
      </x:c>
      <x:c r="C4" s="30" t="str">
        <x:v>Data record visibility</x:v>
      </x:c>
      <x:c r="D4" s="30" t="str">
        <x:v>Make approved data descriptors and their evidence auditable from User View.</x:v>
      </x:c>
      <x:c r="E4" s="30" t="str">
        <x:v>P1</x:v>
      </x:c>
      <x:c r="F4" s="30" t="str">
        <x:v>Done</x:v>
      </x:c>
      <x:c r="G4" s="30" t="str">
        <x:v>Frontend</x:v>
      </x:c>
      <x:c r="H4" s="36" t="n">
        <x:v>46267</x:v>
      </x:c>
      <x:c r="I4" s="36" t="n">
        <x:v>46271</x:v>
      </x:c>
      <x:c r="J4" s="30" t="str">
        <x:v>M</x:v>
      </x:c>
      <x:c r="K4" s="30" t="str">
        <x:v>Approved system descriptor contract</x:v>
      </x:c>
      <x:c r="L4" s="30" t="str">
        <x:v>Group descriptors by type, format, and standard in User View; show shared-vocabulary labels and localized descriptions with the resolved owner-local source title, URL, and accessed date. Show the localized standards research gap when none is assigned.</x:v>
      </x:c>
      <x:c r="M4" s="30" t="str">
        <x:v>A reviewer can inspect each displayed descriptor's approved label, category, localized description, and resolved source evidence, or the standards gap, without opening Raw Fields.</x:v>
      </x:c>
      <x:c r="N4" s="30" t="str">
        <x:v>QA Passed</x:v>
      </x:c>
      <x:c r="O4" s="21" t="str">
        <x:v>Production smoke verified FishBase standards and related record details.</x:v>
      </x:c>
    </x:row>
    <x:row r="5" ht="84" customHeight="1">
      <x:c r="A5" s="20" t="str">
        <x:v>R1-F04</x:v>
      </x:c>
      <x:c r="B5" s="30" t="str">
        <x:v>Release 1</x:v>
      </x:c>
      <x:c r="C5" s="30" t="str">
        <x:v>Review trail surface</x:v>
      </x:c>
      <x:c r="D5" s="30" t="str">
        <x:v>Expose record depth and locale-scoped review state and history.</x:v>
      </x:c>
      <x:c r="E5" s="30" t="str">
        <x:v>P1</x:v>
      </x:c>
      <x:c r="F5" s="30" t="str">
        <x:v>Done</x:v>
      </x:c>
      <x:c r="G5" s="30" t="str">
        <x:v>Frontend</x:v>
      </x:c>
      <x:c r="H5" s="36" t="n">
        <x:v>46269</x:v>
      </x:c>
      <x:c r="I5" s="36" t="n">
        <x:v>46275</x:v>
      </x:c>
      <x:c r="J5" s="30" t="str">
        <x:v>S</x:v>
      </x:c>
      <x:c r="K5" s="30" t="str">
        <x:v>Deployed localization review contract and Record API</x:v>
      </x:c>
      <x:c r="L5" s="30" t="str">
        <x:v>Show record depth and the resolved locale's current review state and date to all users. Let authenticated reviewers update review state and note and inspect review history across locales; keep reviewer identity and notes out of public responses.</x:v>
      </x:c>
      <x:c r="M5" s="30" t="str">
        <x:v>User View shows record depth plus the displayed locale's review state and date. Authorized reviewers can update state and note and inspect reviewer, date, and note history; public users can inspect state, date, and history without private reviewer identity or notes.</x:v>
      </x:c>
      <x:c r="N5" s="30" t="str">
        <x:v>QA Passed</x:v>
      </x:c>
      <x:c r="O5" s="21" t="str">
        <x:v>Production smoke verified revision history and review authorization behavior.</x:v>
      </x:c>
    </x:row>
    <x:row r="6" ht="56" customHeight="1">
      <x:c r="A6" s="20" t="str">
        <x:v>R2-F01</x:v>
      </x:c>
      <x:c r="B6" s="30" t="str">
        <x:v>Release 2</x:v>
      </x:c>
      <x:c r="C6" s="30" t="str">
        <x:v>Tool record archetype</x:v>
      </x:c>
      <x:c r="D6" s="30" t="str">
        <x:v>Define the canonical Ryu route/tool record pattern.</x:v>
      </x:c>
      <x:c r="E6" s="30" t="str">
        <x:v>P0</x:v>
      </x:c>
      <x:c r="F6" s="30" t="str">
        <x:v>Ready</x:v>
      </x:c>
      <x:c r="G6" s="30" t="str">
        <x:v>Product + Backend</x:v>
      </x:c>
      <x:c r="H6" s="36" t="n">
        <x:v>46274</x:v>
      </x:c>
      <x:c r="I6" s="36" t="n">
        <x:v>46278</x:v>
      </x:c>
      <x:c r="J6" s="30" t="str">
        <x:v>M</x:v>
      </x:c>
      <x:c r="K6" s="30" t="str">
        <x:v>Current RyuRoute and RyuPortalRoute types</x:v>
      </x:c>
      <x:c r="L6" s="30" t="str">
        <x:v>Document required fields for route status, mode, priority, capabilities, target, upstream, format, contract ref, auth, caveats, supported tools, and source refs.</x:v>
      </x:c>
      <x:c r="M6" s="30" t="str">
        <x:v>One exemplar route record is complete, documented, source-backed, and accepted as the template for future route records.</x:v>
      </x:c>
      <x:c r="N6" s="30" t="str">
        <x:v>Spec Approved</x:v>
      </x:c>
      <x:c r="O6" s="21" t="str">
        <x:v>Decision: confirm whether 'tool record' means route metadata or a separate entity.</x:v>
      </x:c>
    </x:row>
    <x:row r="7" ht="56" customHeight="1">
      <x:c r="A7" s="20" t="str">
        <x:v>R2-F02</x:v>
      </x:c>
      <x:c r="B7" s="30" t="str">
        <x:v>Release 2</x:v>
      </x:c>
      <x:c r="C7" s="30" t="str">
        <x:v>Tool record backfill</x:v>
      </x:c>
      <x:c r="D7" s="30" t="str">
        <x:v>Fill route/tool records for the initial priority systems.</x:v>
      </x:c>
      <x:c r="E7" s="30" t="str">
        <x:v>P0</x:v>
      </x:c>
      <x:c r="F7" s="30" t="str">
        <x:v>Not Started</x:v>
      </x:c>
      <x:c r="G7" s="30" t="str">
        <x:v>Backend + Research</x:v>
      </x:c>
      <x:c r="H7" s="36" t="n">
        <x:v>46281</x:v>
      </x:c>
      <x:c r="I7" s="36" t="n">
        <x:v>46292</x:v>
      </x:c>
      <x:c r="J7" s="30" t="str">
        <x:v>L</x:v>
      </x:c>
      <x:c r="K7" s="30" t="str">
        <x:v>R2-F01</x:v>
      </x:c>
      <x:c r="L7" s="30" t="str">
        <x:v>Backfill route records, source refs, contract refs, delivery formats, route caveats, and supported tool metadata.</x:v>
      </x:c>
      <x:c r="M7" s="30" t="str">
        <x:v>Priority systems return complete route metadata through the API, with planned routes separated from live routes.</x:v>
      </x:c>
      <x:c r="N7" s="30" t="str">
        <x:v>QA Passed</x:v>
      </x:c>
      <x:c r="O7" s="21" t="str">
        <x:v>Start with Oregon DLCD, GEBCO, OSM/Protomaps, NOAA whale shapes, and fisheries context.</x:v>
      </x:c>
    </x:row>
    <x:row r="8" ht="56" customHeight="1">
      <x:c r="A8" s="20" t="str">
        <x:v>R2-F03</x:v>
      </x:c>
      <x:c r="B8" s="30" t="str">
        <x:v>Release 2</x:v>
      </x:c>
      <x:c r="C8" s="30" t="str">
        <x:v>Route validation checks</x:v>
      </x:c>
      <x:c r="D8" s="30" t="str">
        <x:v>Prevent stale or unusable operational routes.</x:v>
      </x:c>
      <x:c r="E8" s="30" t="str">
        <x:v>P1</x:v>
      </x:c>
      <x:c r="F8" s="30" t="str">
        <x:v>Not Started</x:v>
      </x:c>
      <x:c r="G8" s="30" t="str">
        <x:v>Backend</x:v>
      </x:c>
      <x:c r="H8" s="36" t="n">
        <x:v>46288</x:v>
      </x:c>
      <x:c r="I8" s="36" t="n">
        <x:v>46299</x:v>
      </x:c>
      <x:c r="J8" s="30" t="str">
        <x:v>M</x:v>
      </x:c>
      <x:c r="K8" s="30" t="str">
        <x:v>R2-F02</x:v>
      </x:c>
      <x:c r="L8" s="30" t="str">
        <x:v>Add lightweight checks for route target availability, contract existence, source refs, supported formats, and blocked/planned/live state.</x:v>
      </x:c>
      <x:c r="M8" s="30" t="str">
        <x:v>Validation output identifies broken URLs, missing contracts, missing source refs, and routes marked live without a successful check.</x:v>
      </x:c>
      <x:c r="N8" s="30" t="str">
        <x:v>Build Complete</x:v>
      </x:c>
      <x:c r="O8" s="21" t="str">
        <x:v>Can start as a script or CI check later.</x:v>
      </x:c>
    </x:row>
    <x:row r="9" ht="56" customHeight="1">
      <x:c r="A9" s="20" t="str">
        <x:v>R2-F04</x:v>
      </x:c>
      <x:c r="B9" s="30" t="str">
        <x:v>Release 2</x:v>
      </x:c>
      <x:c r="C9" s="30" t="str">
        <x:v>Portal API hardening</x:v>
      </x:c>
      <x:c r="D9" s="30" t="str">
        <x:v>Make Ryu reliable as a discovery and routing portal.</x:v>
      </x:c>
      <x:c r="E9" s="30" t="str">
        <x:v>P0</x:v>
      </x:c>
      <x:c r="F9" s="30" t="str">
        <x:v>In Progress</x:v>
      </x:c>
      <x:c r="G9" s="30" t="str">
        <x:v>Backend</x:v>
      </x:c>
      <x:c r="H9" s="36" t="n">
        <x:v>46283</x:v>
      </x:c>
      <x:c r="I9" s="36" t="n">
        <x:v>46297</x:v>
      </x:c>
      <x:c r="J9" s="30" t="str">
        <x:v>M</x:v>
      </x:c>
      <x:c r="K9" s="30" t="str">
        <x:v>Existing portal API endpoints</x:v>
      </x:c>
      <x:c r="L9" s="30" t="str">
        <x:v>Confirm query parameters, route inclusion behavior, response schema, error handling, and example prompts for system discovery.</x:v>
      </x:c>
      <x:c r="M9" s="30" t="str">
        <x:v>The portal API endpoints pass smoke tests and return enough route/source/caveat metadata for Deeptime.</x:v>
      </x:c>
      <x:c r="N9" s="30" t="str">
        <x:v>QA Passed</x:v>
      </x:c>
      <x:c r="O9" s="21" t="str">
        <x:v>Existing implementation gives this a head start.</x:v>
      </x:c>
    </x:row>
    <x:row r="10" ht="56" customHeight="1">
      <x:c r="A10" s="20" t="str">
        <x:v>R3-F01</x:v>
      </x:c>
      <x:c r="B10" s="30" t="str">
        <x:v>Release 3</x:v>
      </x:c>
      <x:c r="C10" s="30" t="str">
        <x:v>Roadmap-quality filters</x:v>
      </x:c>
      <x:c r="D10" s="30" t="str">
        <x:v>Help reviewers find records and routes that need work.</x:v>
      </x:c>
      <x:c r="E10" s="30" t="str">
        <x:v>P1</x:v>
      </x:c>
      <x:c r="F10" s="30" t="str">
        <x:v>Not Started</x:v>
      </x:c>
      <x:c r="G10" s="30" t="str">
        <x:v>Frontend</x:v>
      </x:c>
      <x:c r="H10" s="36" t="n">
        <x:v>46302</x:v>
      </x:c>
      <x:c r="I10" s="36" t="n">
        <x:v>46311</x:v>
      </x:c>
      <x:c r="J10" s="30" t="str">
        <x:v>M</x:v>
      </x:c>
      <x:c r="K10" s="30" t="str">
        <x:v>Shared search state</x:v>
      </x:c>
      <x:c r="L10" s="30" t="str">
        <x:v>Add filters for record depth, review state, route status, route mode, capability, delivery format, and contract type.</x:v>
      </x:c>
      <x:c r="M10" s="30" t="str">
        <x:v>A reviewer can filter to thin agent-researched systems, live GeoJSON routes, or planned ArcGIS REST routes from the Systems panel.</x:v>
      </x:c>
      <x:c r="N10" s="30" t="str">
        <x:v>QA Passed</x:v>
      </x:c>
      <x:c r="O10" s="21" t="str">
        <x:v>Build on existing search/filter model.</x:v>
      </x:c>
    </x:row>
    <x:row r="11" ht="56" customHeight="1">
      <x:c r="A11" s="20" t="str">
        <x:v>R3-F02</x:v>
      </x:c>
      <x:c r="B11" s="30" t="str">
        <x:v>Release 3</x:v>
      </x:c>
      <x:c r="C11" s="30" t="str">
        <x:v>Search and graph alignment</x:v>
      </x:c>
      <x:c r="D11" s="30" t="str">
        <x:v>Make one search intent drive both Systems and graph visibility.</x:v>
      </x:c>
      <x:c r="E11" s="30" t="str">
        <x:v>P2</x:v>
      </x:c>
      <x:c r="F11" s="30" t="str">
        <x:v>Not Started</x:v>
      </x:c>
      <x:c r="G11" s="30" t="str">
        <x:v>Frontend</x:v>
      </x:c>
      <x:c r="H11" s="36" t="n">
        <x:v>46309</x:v>
      </x:c>
      <x:c r="I11" s="36" t="n">
        <x:v>46320</x:v>
      </x:c>
      <x:c r="J11" s="30" t="str">
        <x:v>L</x:v>
      </x:c>
      <x:c r="K11" s="30" t="str">
        <x:v>Search system plan</x:v>
      </x:c>
      <x:c r="L11" s="30" t="str">
        <x:v>Apply shared search state to graph projection, preserve necessary context nodes, and show match reasons consistently.</x:v>
      </x:c>
      <x:c r="M11" s="30" t="str">
        <x:v>Typing once filters both Systems and graph panes without breaking selection, saved views, or view modes.</x:v>
      </x:c>
      <x:c r="N11" s="30" t="str">
        <x:v>QA Passed</x:v>
      </x:c>
      <x:c r="O11" s="21" t="str">
        <x:v>Can be split if graph filtering gets complicated.</x:v>
      </x:c>
    </x:row>
    <x:row r="12" ht="56" customHeight="1">
      <x:c r="A12" s="20" t="str">
        <x:v>R3-F03</x:v>
      </x:c>
      <x:c r="B12" s="30" t="str">
        <x:v>Release 3</x:v>
      </x:c>
      <x:c r="C12" s="30" t="str">
        <x:v>Public read-only build</x:v>
      </x:c>
      <x:c r="D12" s="30" t="str">
        <x:v>Publish Ryu safely for external viewing.</x:v>
      </x:c>
      <x:c r="E12" s="30" t="str">
        <x:v>P0</x:v>
      </x:c>
      <x:c r="F12" s="30" t="str">
        <x:v>Ready</x:v>
      </x:c>
      <x:c r="G12" s="30" t="str">
        <x:v>DevOps</x:v>
      </x:c>
      <x:c r="H12" s="36" t="n">
        <x:v>46296</x:v>
      </x:c>
      <x:c r="I12" s="36" t="n">
        <x:v>46305</x:v>
      </x:c>
      <x:c r="J12" s="30" t="str">
        <x:v>M</x:v>
      </x:c>
      <x:c r="K12" s="30" t="str">
        <x:v>Existing publish script</x:v>
      </x:c>
      <x:c r="L12" s="30" t="str">
        <x:v>Verify sanitized bootstrap export, read-only behavior, production deploy script, smoke checks, and rollback notes.</x:v>
      </x:c>
      <x:c r="M12" s="30" t="str">
        <x:v>Public URL loads, bootstrap payload validates, local paths are removed, and publish steps are repeatable by another team member.</x:v>
      </x:c>
      <x:c r="N12" s="30" t="str">
        <x:v>Launched</x:v>
      </x:c>
      <x:c r="O12" s="21" t="str">
        <x:v>Consider static IP and HTTPS as separate infra tasks.</x:v>
      </x:c>
    </x:row>
    <x:row r="13" ht="56" customHeight="1">
      <x:c r="A13" s="22" t="str">
        <x:v>R3-F04</x:v>
      </x:c>
      <x:c r="B13" s="31" t="str">
        <x:v>Release 3</x:v>
      </x:c>
      <x:c r="C13" s="31" t="str">
        <x:v>Release checklist</x:v>
      </x:c>
      <x:c r="D13" s="31" t="str">
        <x:v>Create the team's accountable release process.</x:v>
      </x:c>
      <x:c r="E13" s="31" t="str">
        <x:v>P1</x:v>
      </x:c>
      <x:c r="F13" s="31" t="str">
        <x:v>Not Started</x:v>
      </x:c>
      <x:c r="G13" s="31" t="str">
        <x:v>Product + Engineering</x:v>
      </x:c>
      <x:c r="H13" s="37" t="n">
        <x:v>46300</x:v>
      </x:c>
      <x:c r="I13" s="37" t="n">
        <x:v>46307</x:v>
      </x:c>
      <x:c r="J13" s="31" t="str">
        <x:v>S</x:v>
      </x:c>
      <x:c r="K13" s="31" t="str">
        <x:v>Roadmap and deployment flow</x:v>
      </x:c>
      <x:c r="L13" s="31" t="str">
        <x:v>Define release gates, demo criteria, data review requirements, test evidence, deploy owner, and rollback owner.</x:v>
      </x:c>
      <x:c r="M13" s="31" t="str">
        <x:v>Every launch item has a named owner, acceptance evidence, release date, and sign-off state.</x:v>
      </x:c>
      <x:c r="N13" s="31" t="str">
        <x:v>Spec Approved</x:v>
      </x:c>
      <x:c r="O13" s="23" t="str">
        <x:v>This is what keeps roadmap rows from becoming wish-list rows.</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24" hidden="0" customWidth="1"/>
    <x:col min="3" max="3" width="46" hidden="0" customWidth="1"/>
    <x:col min="4" max="4" width="25" hidden="0" customWidth="1"/>
    <x:col min="5" max="5" width="32" hidden="0" customWidth="1"/>
    <x:col min="6" max="6" width="38" hidden="0" customWidth="1"/>
    <x:col min="7" max="7" width="36" hidden="0" customWidth="1"/>
    <x:col min="8" max="8" width="34" hidden="0" customWidth="1"/>
  </x:cols>
  <x:sheetData>
    <x:row r="1">
      <x:c r="A1" s="10" t="str">
        <x:v>Release</x:v>
      </x:c>
      <x:c r="B1" s="25" t="str">
        <x:v>Theme</x:v>
      </x:c>
      <x:c r="C1" s="25" t="str">
        <x:v>Objective</x:v>
      </x:c>
      <x:c r="D1" s="25" t="str">
        <x:v>Target Window</x:v>
      </x:c>
      <x:c r="E1" s="25" t="str">
        <x:v>Entry Criteria</x:v>
      </x:c>
      <x:c r="F1" s="25" t="str">
        <x:v>Exit Criteria</x:v>
      </x:c>
      <x:c r="G1" s="25" t="str">
        <x:v>Primary Risks</x:v>
      </x:c>
      <x:c r="H1" s="11" t="str">
        <x:v>Demo</x:v>
      </x:c>
    </x:row>
    <x:row r="2" ht="58" customHeight="1">
      <x:c r="A2" s="18" t="str">
        <x:v>Release 1</x:v>
      </x:c>
      <x:c r="B2" s="29" t="str">
        <x:v>Reviewable records</x:v>
      </x:c>
      <x:c r="C2" s="29" t="str">
        <x:v>Make priority systems complete enough for internal review.</x:v>
      </x:c>
      <x:c r="D2" s="29" t="str">
        <x:v>2026-08-24 to 2026-09-13</x:v>
      </x:c>
      <x:c r="E2" s="29" t="str">
        <x:v>Priority research queue and record contract approved</x:v>
      </x:c>
      <x:c r="F2" s="29" t="str">
        <x:v>Approved rich-record batch applied and read-verified; descriptor evidence and locale review history are available in User View</x:v>
      </x:c>
      <x:c r="G2" s="29" t="str">
        <x:v>Scope expansion beyond the approved priority queue</x:v>
      </x:c>
      <x:c r="H2" s="19" t="str">
        <x:v>Walk through a surviving priority system's descriptors, evidence, record depth, and review history</x:v>
      </x:c>
    </x:row>
    <x:row r="3" ht="58" customHeight="1">
      <x:c r="A3" s="20" t="str">
        <x:v>Release 2</x:v>
      </x:c>
      <x:c r="B3" s="30" t="str">
        <x:v>Usable route/tool records</x:v>
      </x:c>
      <x:c r="C3" s="30" t="str">
        <x:v>Make Ryu useful for system discovery and operational routing.</x:v>
      </x:c>
      <x:c r="D3" s="30" t="str">
        <x:v>2026-09-09 to 2026-10-04</x:v>
      </x:c>
      <x:c r="E3" s="30" t="str">
        <x:v>Tool record archetype accepted</x:v>
      </x:c>
      <x:c r="F3" s="30" t="str">
        <x:v>Priority route records work through the API</x:v>
      </x:c>
      <x:c r="G3" s="30" t="str">
        <x:v>Ambiguous route status definitions</x:v>
      </x:c>
      <x:c r="H3" s="21" t="str">
        <x:v>Run Deeptime-style discovery prompt</x:v>
      </x:c>
    </x:row>
    <x:row r="4" ht="58" customHeight="1">
      <x:c r="A4" s="22" t="str">
        <x:v>Release 3</x:v>
      </x:c>
      <x:c r="B4" s="31" t="str">
        <x:v>Accountable operation</x:v>
      </x:c>
      <x:c r="C4" s="31" t="str">
        <x:v>Add filters, public hosting, and launch process.</x:v>
      </x:c>
      <x:c r="D4" s="31" t="str">
        <x:v>2026-10-01 to 2026-10-25</x:v>
      </x:c>
      <x:c r="E4" s="31" t="str">
        <x:v>Release 1/2 data quality accepted</x:v>
      </x:c>
      <x:c r="F4" s="31" t="str">
        <x:v>Public read-only build and release checklist complete</x:v>
      </x:c>
      <x:c r="G4" s="31" t="str">
        <x:v>Deployment ownership unclear</x:v>
      </x:c>
      <x:c r="H4" s="23" t="str">
        <x:v>Open public build and filter live routes</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30" hidden="0" customWidth="1"/>
    <x:col min="3" max="3" width="54" hidden="0" customWidth="1"/>
    <x:col min="4" max="4" width="48" hidden="0" customWidth="1"/>
    <x:col min="5" max="5" width="34" hidden="0" customWidth="1"/>
    <x:col min="6" max="6" width="18" hidden="0" customWidth="1"/>
  </x:cols>
  <x:sheetData>
    <x:row r="1">
      <x:c r="A1" s="10" t="str">
        <x:v>Feature ID</x:v>
      </x:c>
      <x:c r="B1" s="25" t="str">
        <x:v>Feature</x:v>
      </x:c>
      <x:c r="C1" s="25" t="str">
        <x:v>Functional Acceptance</x:v>
      </x:c>
      <x:c r="D1" s="25" t="str">
        <x:v>UX / Workflow Acceptance</x:v>
      </x:c>
      <x:c r="E1" s="25" t="str">
        <x:v>Dependency Evidence</x:v>
      </x:c>
      <x:c r="F1" s="11" t="str">
        <x:v>Release Gate</x:v>
      </x:c>
    </x:row>
    <x:row r="2" ht="84" customHeight="1">
      <x:c r="A2" s="18" t="str">
        <x:v>R1-F01</x:v>
      </x:c>
      <x:c r="B2" s="29" t="str">
        <x:v>Record backlog triage</x:v>
      </x:c>
      <x:c r="C2" s="29" t="str">
        <x:v>The approved queue names and orders the priority systems, assigns a primary worker, sets the target depth and review state, keeps supporting identities thin or stub, and records removals or deferrals.</x:v>
      </x:c>
      <x:c r="D2" s="29" t="str">
        <x:v>The research queue and current scope identify the main records, supporting identities, primary workers, and removed or deferred items.</x:v>
      </x:c>
      <x:c r="E2" s="29" t="str">
        <x:v>Approved priority research queue and record-shape prerequisite</x:v>
      </x:c>
      <x:c r="F2" s="19" t="str">
        <x:v>Spec Approved</x:v>
      </x:c>
    </x:row>
    <x:row r="3" ht="84" customHeight="1">
      <x:c r="A3" s="20" t="str">
        <x:v>R1-F02</x:v>
      </x:c>
      <x:c r="B3" s="30" t="str">
        <x:v>Rich record backfill</x:v>
      </x:c>
      <x:c r="C3" s="30" t="str">
        <x:v>Every approved main record passes live validateOnly with a fresh precondition, applies and reads back exactly, has six complete agent_researched localizations, complete source-reference coverage, qualifying gallery evidence, and fully evidenced incident relationships; supporting identities remain thin or stub.</x:v>
      </x:c>
      <x:c r="D3" s="30" t="str">
        <x:v>A reviewer can open a completed system in User View and inspect its localized profile, evidence, gallery, access, metrics, and connections.</x:v>
      </x:c>
      <x:c r="E3" s="30" t="str">
        <x:v>Production application report and validation manifest</x:v>
      </x:c>
      <x:c r="F3" s="21" t="str">
        <x:v>QA Passed</x:v>
      </x:c>
    </x:row>
    <x:row r="4" ht="84" customHeight="1">
      <x:c r="A4" s="20" t="str">
        <x:v>R1-F03</x:v>
      </x:c>
      <x:c r="B4" s="30" t="str">
        <x:v>Data record visibility</x:v>
      </x:c>
      <x:c r="C4" s="30" t="str">
        <x:v>A reviewer can inspect each displayed descriptor's approved label, category, localized description, and resolved source evidence, or the standards gap, without opening Raw Fields.</x:v>
      </x:c>
      <x:c r="D4" s="30" t="str">
        <x:v>Keyboard or pointer focus on a descriptor reveals its localized description and source evidence; a missing standard shows the recorded research gap.</x:v>
      </x:c>
      <x:c r="E4" s="30" t="str">
        <x:v>Shared descriptor contract and production smoke evidence</x:v>
      </x:c>
      <x:c r="F4" s="21" t="str">
        <x:v>QA Passed</x:v>
      </x:c>
    </x:row>
    <x:row r="5" ht="84" customHeight="1">
      <x:c r="A5" s="20" t="str">
        <x:v>R1-F04</x:v>
      </x:c>
      <x:c r="B5" s="30" t="str">
        <x:v>Review trail surface</x:v>
      </x:c>
      <x:c r="C5" s="30" t="str">
        <x:v>User View shows record depth plus the displayed locale's review state and date. Authorized reviewers can update state and note and inspect reviewer, date, and note history; public users can inspect state, date, and history without private reviewer identity or notes.</x:v>
      </x:c>
      <x:c r="D5" s="30" t="str">
        <x:v>Public view shows review state and date without private identity or notes; authenticated review view exposes controls and the cross-locale revision history.</x:v>
      </x:c>
      <x:c r="E5" s="30" t="str">
        <x:v>Localization review contract and production smoke evidence</x:v>
      </x:c>
      <x:c r="F5" s="21" t="str">
        <x:v>QA Passed</x:v>
      </x:c>
    </x:row>
    <x:row r="6" ht="54" customHeight="1">
      <x:c r="A6" s="20" t="str">
        <x:v>R2-F01</x:v>
      </x:c>
      <x:c r="B6" s="30" t="str">
        <x:v>Tool record archetype</x:v>
      </x:c>
      <x:c r="C6" s="30" t="str">
        <x:v>One exemplar route record is complete, documented, source-backed, and accepted as the template for future route records.</x:v>
      </x:c>
      <x:c r="D6" s="30" t="str">
        <x:v>Representative user path is verified manually and no critical UI copy is hidden or clipped.</x:v>
      </x:c>
      <x:c r="E6" s="30" t="str">
        <x:v>Depends on Current RyuRoute and RyuPortalRoute types</x:v>
      </x:c>
      <x:c r="F6" s="21" t="str">
        <x:v>Spec Approved</x:v>
      </x:c>
    </x:row>
    <x:row r="7" ht="54" customHeight="1">
      <x:c r="A7" s="20" t="str">
        <x:v>R2-F02</x:v>
      </x:c>
      <x:c r="B7" s="30" t="str">
        <x:v>Tool record backfill</x:v>
      </x:c>
      <x:c r="C7" s="30" t="str">
        <x:v>Priority systems return complete route metadata through the API, with planned routes separated from live routes.</x:v>
      </x:c>
      <x:c r="D7" s="30" t="str">
        <x:v>Representative user path is verified manually and no critical UI copy is hidden or clipped.</x:v>
      </x:c>
      <x:c r="E7" s="30" t="str">
        <x:v>Depends on R2-F01</x:v>
      </x:c>
      <x:c r="F7" s="21" t="str">
        <x:v>QA Passed</x:v>
      </x:c>
    </x:row>
    <x:row r="8" ht="54" customHeight="1">
      <x:c r="A8" s="20" t="str">
        <x:v>R2-F03</x:v>
      </x:c>
      <x:c r="B8" s="30" t="str">
        <x:v>Route validation checks</x:v>
      </x:c>
      <x:c r="C8" s="30" t="str">
        <x:v>Validation output identifies broken URLs, missing contracts, missing source refs, and routes marked live without a successful check.</x:v>
      </x:c>
      <x:c r="D8" s="30" t="str">
        <x:v>Representative user path is verified manually and no critical UI copy is hidden or clipped.</x:v>
      </x:c>
      <x:c r="E8" s="30" t="str">
        <x:v>Depends on R2-F02</x:v>
      </x:c>
      <x:c r="F8" s="21" t="str">
        <x:v>Build Complete</x:v>
      </x:c>
    </x:row>
    <x:row r="9" ht="54" customHeight="1">
      <x:c r="A9" s="20" t="str">
        <x:v>R2-F04</x:v>
      </x:c>
      <x:c r="B9" s="30" t="str">
        <x:v>Portal API hardening</x:v>
      </x:c>
      <x:c r="C9" s="30" t="str">
        <x:v>The portal API endpoints pass smoke tests and return enough route/source/caveat metadata for Deeptime.</x:v>
      </x:c>
      <x:c r="D9" s="30" t="str">
        <x:v>Representative user path is verified manually and no critical UI copy is hidden or clipped.</x:v>
      </x:c>
      <x:c r="E9" s="30" t="str">
        <x:v>Depends on Existing portal API endpoints</x:v>
      </x:c>
      <x:c r="F9" s="21" t="str">
        <x:v>QA Passed</x:v>
      </x:c>
    </x:row>
    <x:row r="10" ht="54" customHeight="1">
      <x:c r="A10" s="20" t="str">
        <x:v>R3-F01</x:v>
      </x:c>
      <x:c r="B10" s="30" t="str">
        <x:v>Roadmap-quality filters</x:v>
      </x:c>
      <x:c r="C10" s="30" t="str">
        <x:v>A reviewer can filter to thin agent-researched systems, live GeoJSON routes, or planned ArcGIS REST routes from the Systems panel.</x:v>
      </x:c>
      <x:c r="D10" s="30" t="str">
        <x:v>Representative user path is verified manually and no critical UI copy is hidden or clipped.</x:v>
      </x:c>
      <x:c r="E10" s="30" t="str">
        <x:v>Depends on Shared search state</x:v>
      </x:c>
      <x:c r="F10" s="21" t="str">
        <x:v>QA Passed</x:v>
      </x:c>
    </x:row>
    <x:row r="11" ht="54" customHeight="1">
      <x:c r="A11" s="20" t="str">
        <x:v>R3-F02</x:v>
      </x:c>
      <x:c r="B11" s="30" t="str">
        <x:v>Search and graph alignment</x:v>
      </x:c>
      <x:c r="C11" s="30" t="str">
        <x:v>Typing once filters both Systems and graph panes without breaking selection, saved views, or view modes.</x:v>
      </x:c>
      <x:c r="D11" s="30" t="str">
        <x:v>Representative user path is verified manually and no critical UI copy is hidden or clipped.</x:v>
      </x:c>
      <x:c r="E11" s="30" t="str">
        <x:v>Depends on Search system plan</x:v>
      </x:c>
      <x:c r="F11" s="21" t="str">
        <x:v>QA Passed</x:v>
      </x:c>
    </x:row>
    <x:row r="12" ht="54" customHeight="1">
      <x:c r="A12" s="20" t="str">
        <x:v>R3-F03</x:v>
      </x:c>
      <x:c r="B12" s="30" t="str">
        <x:v>Public read-only build</x:v>
      </x:c>
      <x:c r="C12" s="30" t="str">
        <x:v>Public URL loads, bootstrap payload validates, local paths are removed, and publish steps are repeatable by another team member.</x:v>
      </x:c>
      <x:c r="D12" s="30" t="str">
        <x:v>Representative user path is verified manually and no critical UI copy is hidden or clipped.</x:v>
      </x:c>
      <x:c r="E12" s="30" t="str">
        <x:v>Depends on Existing publish script</x:v>
      </x:c>
      <x:c r="F12" s="21" t="str">
        <x:v>Launched</x:v>
      </x:c>
    </x:row>
    <x:row r="13" ht="54" customHeight="1">
      <x:c r="A13" s="22" t="str">
        <x:v>R3-F04</x:v>
      </x:c>
      <x:c r="B13" s="31" t="str">
        <x:v>Release checklist</x:v>
      </x:c>
      <x:c r="C13" s="31" t="str">
        <x:v>Every launch item has a named owner, acceptance evidence, release date, and sign-off state.</x:v>
      </x:c>
      <x:c r="D13" s="31" t="str">
        <x:v>Representative user path is verified manually and no critical UI copy is hidden or clipped.</x:v>
      </x:c>
      <x:c r="E13" s="31" t="str">
        <x:v>Depends on Roadmap and deployment flow</x:v>
      </x:c>
      <x:c r="F13" s="23" t="str">
        <x:v>Spec Approved</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32" hidden="0" customWidth="1"/>
    <x:col min="3" max="3" width="42" hidden="0" customWidth="1"/>
    <x:col min="4" max="4" width="18" hidden="0" customWidth="1"/>
    <x:col min="5" max="5" width="20" hidden="0" customWidth="1"/>
    <x:col min="6" max="6" width="50" hidden="0" customWidth="1"/>
    <x:col min="7" max="7" width="14" hidden="0" customWidth="1"/>
  </x:cols>
  <x:sheetData>
    <x:row r="1">
      <x:c r="A1" s="10" t="str">
        <x:v>Type</x:v>
      </x:c>
      <x:c r="B1" s="25" t="str">
        <x:v>Item</x:v>
      </x:c>
      <x:c r="C1" s="25" t="str">
        <x:v>Impact</x:v>
      </x:c>
      <x:c r="D1" s="25" t="str">
        <x:v>Owner</x:v>
      </x:c>
      <x:c r="E1" s="25" t="str">
        <x:v>Decision Needed By</x:v>
      </x:c>
      <x:c r="F1" s="25" t="str">
        <x:v>Resolution Path</x:v>
      </x:c>
      <x:c r="G1" s="11" t="str">
        <x:v>Status</x:v>
      </x:c>
    </x:row>
    <x:row r="2" ht="52" customHeight="1">
      <x:c r="A2" s="18" t="str">
        <x:v>Decision</x:v>
      </x:c>
      <x:c r="B2" s="29" t="str">
        <x:v>Meaning of tool record</x:v>
      </x:c>
      <x:c r="C2" s="29" t="str">
        <x:v>Wrong model could create duplicate concepts.</x:v>
      </x:c>
      <x:c r="D2" s="29" t="str">
        <x:v>Product</x:v>
      </x:c>
      <x:c r="E2" s="35" t="n">
        <x:v>46274</x:v>
      </x:c>
      <x:c r="F2" s="29" t="str">
        <x:v>Decide route metadata versus separate tool entity before implementation.</x:v>
      </x:c>
      <x:c r="G2" s="19" t="str">
        <x:v>Open</x:v>
      </x:c>
    </x:row>
    <x:row r="3" ht="52" customHeight="1">
      <x:c r="A3" s="20" t="str">
        <x:v>Risk</x:v>
      </x:c>
      <x:c r="B3" s="30" t="str">
        <x:v>Record scope expansion</x:v>
      </x:c>
      <x:c r="C3" s="30" t="str">
        <x:v>Research work can grow faster than engineering capacity.</x:v>
      </x:c>
      <x:c r="D3" s="30" t="str">
        <x:v>Product</x:v>
      </x:c>
      <x:c r="E3" s="36" t="n">
        <x:v>46262</x:v>
      </x:c>
      <x:c r="F3" s="30" t="str">
        <x:v>Scope was capped to the approved priority queue; OceanTeacher's removal was recorded and supporting identities remained thin or stub.</x:v>
      </x:c>
      <x:c r="G3" s="21" t="str">
        <x:v>Closed</x:v>
      </x:c>
    </x:row>
    <x:row r="4" ht="52" customHeight="1">
      <x:c r="A4" s="20" t="str">
        <x:v>Risk</x:v>
      </x:c>
      <x:c r="B4" s="30" t="str">
        <x:v>Route status inconsistency</x:v>
      </x:c>
      <x:c r="C4" s="30" t="str">
        <x:v>Clients may call planned or broken routes.</x:v>
      </x:c>
      <x:c r="D4" s="30" t="str">
        <x:v>Backend</x:v>
      </x:c>
      <x:c r="E4" s="36" t="n">
        <x:v>46285</x:v>
      </x:c>
      <x:c r="F4" s="30" t="str">
        <x:v>Define status meanings and add route validation checks.</x:v>
      </x:c>
      <x:c r="G4" s="21" t="str">
        <x:v>Open</x:v>
      </x:c>
    </x:row>
    <x:row r="5" ht="52" customHeight="1">
      <x:c r="A5" s="20" t="str">
        <x:v>Dependency</x:v>
      </x:c>
      <x:c r="B5" s="30" t="str">
        <x:v>Public hosting credentials</x:v>
      </x:c>
      <x:c r="C5" s="30" t="str">
        <x:v>Deploy process may rely on one person's local key.</x:v>
      </x:c>
      <x:c r="D5" s="30" t="str">
        <x:v>DevOps</x:v>
      </x:c>
      <x:c r="E5" s="36" t="n">
        <x:v>46296</x:v>
      </x:c>
      <x:c r="F5" s="30" t="str">
        <x:v>Document deploy access, rollback path, and backup owner.</x:v>
      </x:c>
      <x:c r="G5" s="21" t="str">
        <x:v>Open</x:v>
      </x:c>
    </x:row>
    <x:row r="6" ht="52" customHeight="1">
      <x:c r="A6" s="22" t="str">
        <x:v>Risk</x:v>
      </x:c>
      <x:c r="B6" s="31" t="str">
        <x:v>Search relevance drift</x:v>
      </x:c>
      <x:c r="C6" s="31" t="str">
        <x:v>Source/provenance text could swamp identity fields.</x:v>
      </x:c>
      <x:c r="D6" s="31" t="str">
        <x:v>Frontend</x:v>
      </x:c>
      <x:c r="E6" s="37" t="n">
        <x:v>46309</x:v>
      </x:c>
      <x:c r="F6" s="31" t="str">
        <x:v>Keep weighted field definitions and visible match reasons.</x:v>
      </x:c>
      <x:c r="G6" s="23" t="str">
        <x:v>Watch</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22" hidden="0" customWidth="1"/>
    <x:col min="3" max="3" width="70" hidden="0" customWidth="1"/>
  </x:cols>
  <x:sheetData>
    <x:row r="1">
      <x:c r="A1" s="10" t="str">
        <x:v>Category</x:v>
      </x:c>
      <x:c r="B1" s="25" t="str">
        <x:v>Value</x:v>
      </x:c>
      <x:c r="C1" s="11" t="str">
        <x:v>Meaning</x:v>
      </x:c>
    </x:row>
    <x:row r="2">
      <x:c r="A2" s="18" t="str">
        <x:v>Status</x:v>
      </x:c>
      <x:c r="B2" s="29" t="str">
        <x:v>Not Started</x:v>
      </x:c>
      <x:c r="C2" s="19" t="str">
        <x:v>Accepted into roadmap, no active work yet.</x:v>
      </x:c>
    </x:row>
    <x:row r="3">
      <x:c r="A3" s="20" t="str">
        <x:v>Status</x:v>
      </x:c>
      <x:c r="B3" s="30" t="str">
        <x:v>Ready</x:v>
      </x:c>
      <x:c r="C3" s="21" t="str">
        <x:v>Scoped enough for implementation or research work to begin.</x:v>
      </x:c>
    </x:row>
    <x:row r="4">
      <x:c r="A4" s="20" t="str">
        <x:v>Status</x:v>
      </x:c>
      <x:c r="B4" s="30" t="str">
        <x:v>In Progress</x:v>
      </x:c>
      <x:c r="C4" s="21" t="str">
        <x:v>Owner is actively working the item.</x:v>
      </x:c>
    </x:row>
    <x:row r="5">
      <x:c r="A5" s="20" t="str">
        <x:v>Status</x:v>
      </x:c>
      <x:c r="B5" s="30" t="str">
        <x:v>Blocked</x:v>
      </x:c>
      <x:c r="C5" s="21" t="str">
        <x:v>Cannot progress without a named decision, dependency, or access fix.</x:v>
      </x:c>
    </x:row>
    <x:row r="6">
      <x:c r="A6" s="20" t="str">
        <x:v>Status</x:v>
      </x:c>
      <x:c r="B6" s="30" t="str">
        <x:v>Done</x:v>
      </x:c>
      <x:c r="C6" s="21" t="str">
        <x:v>Acceptance criteria are met and evidence is linked or documented.</x:v>
      </x:c>
    </x:row>
    <x:row r="7">
      <x:c r="A7" s="20" t="str">
        <x:v>Priority</x:v>
      </x:c>
      <x:c r="B7" s="30" t="str">
        <x:v>P0</x:v>
      </x:c>
      <x:c r="C7" s="21" t="str">
        <x:v>Release-blocking for the current internal milestone.</x:v>
      </x:c>
    </x:row>
    <x:row r="8">
      <x:c r="A8" s="20" t="str">
        <x:v>Priority</x:v>
      </x:c>
      <x:c r="B8" s="30" t="str">
        <x:v>P1</x:v>
      </x:c>
      <x:c r="C8" s="21" t="str">
        <x:v>Important for launch quality, but not always a release blocker.</x:v>
      </x:c>
    </x:row>
    <x:row r="9">
      <x:c r="A9" s="20" t="str">
        <x:v>Priority</x:v>
      </x:c>
      <x:c r="B9" s="30" t="str">
        <x:v>P2</x:v>
      </x:c>
      <x:c r="C9" s="21" t="str">
        <x:v>Useful enhancement that can move if the release is at risk.</x:v>
      </x:c>
    </x:row>
    <x:row r="10">
      <x:c r="A10" s="20" t="str">
        <x:v>Priority</x:v>
      </x:c>
      <x:c r="B10" s="30" t="str">
        <x:v>P3</x:v>
      </x:c>
      <x:c r="C10" s="21" t="str">
        <x:v>Backlog item or polish.</x:v>
      </x:c>
    </x:row>
    <x:row r="11">
      <x:c r="A11" s="20" t="str">
        <x:v>Effort</x:v>
      </x:c>
      <x:c r="B11" s="30" t="str">
        <x:v>XS</x:v>
      </x:c>
      <x:c r="C11" s="21" t="str">
        <x:v>Less than one day.</x:v>
      </x:c>
    </x:row>
    <x:row r="12">
      <x:c r="A12" s="20" t="str">
        <x:v>Effort</x:v>
      </x:c>
      <x:c r="B12" s="30" t="str">
        <x:v>S</x:v>
      </x:c>
      <x:c r="C12" s="21" t="str">
        <x:v>One to two days.</x:v>
      </x:c>
    </x:row>
    <x:row r="13">
      <x:c r="A13" s="20" t="str">
        <x:v>Effort</x:v>
      </x:c>
      <x:c r="B13" s="30" t="str">
        <x:v>M</x:v>
      </x:c>
      <x:c r="C13" s="21" t="str">
        <x:v>Three to five days.</x:v>
      </x:c>
    </x:row>
    <x:row r="14">
      <x:c r="A14" s="20" t="str">
        <x:v>Effort</x:v>
      </x:c>
      <x:c r="B14" s="30" t="str">
        <x:v>L</x:v>
      </x:c>
      <x:c r="C14" s="21" t="str">
        <x:v>One to two weeks.</x:v>
      </x:c>
    </x:row>
    <x:row r="15">
      <x:c r="A15" s="20" t="str">
        <x:v>Effort</x:v>
      </x:c>
      <x:c r="B15" s="30" t="str">
        <x:v>XL</x:v>
      </x:c>
      <x:c r="C15" s="21" t="str">
        <x:v>Needs further breakdown before commitment.</x:v>
      </x:c>
    </x:row>
    <x:row r="16">
      <x:c r="A16" s="20" t="str">
        <x:v>Gate</x:v>
      </x:c>
      <x:c r="B16" s="30" t="str">
        <x:v>Discovery</x:v>
      </x:c>
      <x:c r="C16" s="21" t="str">
        <x:v>Problem understood but scope is not committed.</x:v>
      </x:c>
    </x:row>
    <x:row r="17">
      <x:c r="A17" s="20" t="str">
        <x:v>Gate</x:v>
      </x:c>
      <x:c r="B17" s="30" t="str">
        <x:v>Spec Approved</x:v>
      </x:c>
      <x:c r="C17" s="21" t="str">
        <x:v>Scope, owner, and acceptance criteria are agreed.</x:v>
      </x:c>
    </x:row>
    <x:row r="18">
      <x:c r="A18" s="20" t="str">
        <x:v>Gate</x:v>
      </x:c>
      <x:c r="B18" s="30" t="str">
        <x:v>Build Complete</x:v>
      </x:c>
      <x:c r="C18" s="21" t="str">
        <x:v>Implementation is complete and ready for QA/review.</x:v>
      </x:c>
    </x:row>
    <x:row r="19">
      <x:c r="A19" s="20" t="str">
        <x:v>Gate</x:v>
      </x:c>
      <x:c r="B19" s="30" t="str">
        <x:v>QA Passed</x:v>
      </x:c>
      <x:c r="C19" s="21" t="str">
        <x:v>Acceptance evidence exists and no launch blockers remain.</x:v>
      </x:c>
    </x:row>
    <x:row r="20">
      <x:c r="A20" s="22" t="str">
        <x:v>Gate</x:v>
      </x:c>
      <x:c r="B20" s="31" t="str">
        <x:v>Launched</x:v>
      </x:c>
      <x:c r="C20" s="23" t="str">
        <x:v>Released to the intended audience.</x:v>
      </x:c>
    </x:row>
  </x:sheetData>
  <x:pageMargins left="0.7" right="0.7" top="0.75" bottom="0.75" header="0.3" footer="0.3"/>
</x:worksheet>
</file>